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5041AC1B-6612-40B6-A08E-FB7333043B8E}" xr6:coauthVersionLast="47" xr6:coauthVersionMax="47" xr10:uidLastSave="{00000000-0000-0000-0000-000000000000}"/>
  <bookViews>
    <workbookView xWindow="13550" yWindow="-110" windowWidth="19420" windowHeight="10420" tabRatio="558" xr2:uid="{D89433D5-04DF-4AB2-8CD1-34ED6AC59800}"/>
  </bookViews>
  <sheets>
    <sheet name="Planilha1" sheetId="1" r:id="rId1"/>
    <sheet name="Planilha2" sheetId="2" r:id="rId2"/>
  </sheets>
  <definedNames>
    <definedName name="aporte">Planilha1!$D$17</definedName>
    <definedName name="dividendo_mensal">Planilha1!$D$21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1" i="1" s="1"/>
  <c r="C31" i="1"/>
  <c r="C35" i="1"/>
  <c r="C36" i="1"/>
  <c r="C37" i="1"/>
  <c r="C38" i="1"/>
  <c r="C39" i="1"/>
  <c r="C34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4" i="1"/>
  <c r="C25" i="1"/>
  <c r="D25" i="1" s="1"/>
  <c r="C26" i="1"/>
  <c r="D26" i="1" s="1"/>
  <c r="C27" i="1"/>
  <c r="D27" i="1" s="1"/>
  <c r="C28" i="1"/>
  <c r="D28" i="1" s="1"/>
  <c r="C24" i="1"/>
  <c r="D24" i="1" s="1"/>
  <c r="D38" i="1" l="1"/>
  <c r="D34" i="1"/>
  <c r="D36" i="1"/>
  <c r="D37" i="1"/>
  <c r="D39" i="1"/>
  <c r="D35" i="1"/>
  <c r="D40" i="1" l="1"/>
</calcChain>
</file>

<file path=xl/sharedStrings.xml><?xml version="1.0" encoding="utf-8"?>
<sst xmlns="http://schemas.openxmlformats.org/spreadsheetml/2006/main" count="71" uniqueCount="34">
  <si>
    <t>INVESTIMENTO MENSAL</t>
  </si>
  <si>
    <t>Quanto investir por mês?</t>
  </si>
  <si>
    <t>Dividendos Mensais ?</t>
  </si>
  <si>
    <t>Patrimônio acumulado ?</t>
  </si>
  <si>
    <t>Taxa de Rendimento mensal?</t>
  </si>
  <si>
    <t>Por Quantos anos?</t>
  </si>
  <si>
    <t>Quanto em 2 Anos ?</t>
  </si>
  <si>
    <t>Quanto em 5 Anos ?</t>
  </si>
  <si>
    <t>Quanto em 10 Anos ?</t>
  </si>
  <si>
    <t>Quanto em 20 Anos ?</t>
  </si>
  <si>
    <t>Cenários</t>
  </si>
  <si>
    <t>Quanto em 30 Anos ?</t>
  </si>
  <si>
    <t>Dividendo</t>
  </si>
  <si>
    <t>Rendimento Carteira</t>
  </si>
  <si>
    <t>Salário</t>
  </si>
  <si>
    <t>CONFIGURAÇÕES</t>
  </si>
  <si>
    <t>Moderado</t>
  </si>
  <si>
    <t>Agressivo</t>
  </si>
  <si>
    <t>Conservador</t>
  </si>
  <si>
    <t>VALOR A SER INVESTIDO POR MÊS</t>
  </si>
  <si>
    <t>PERFIL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</si>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</sst>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20"/>
      <color theme="0"/>
      <name val="Aptos Narrow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ptos Narrow"/>
      <family val="2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sz val="13"/>
      <color theme="1"/>
      <name val="Segoe UI"/>
      <family val="2"/>
    </font>
    <font>
      <sz val="12"/>
      <color rgb="FF23282C"/>
      <name val="Segoe UI"/>
      <family val="2"/>
    </font>
    <font>
      <b/>
      <sz val="12"/>
      <color rgb="FF23282C"/>
      <name val="Segoe UI"/>
      <family val="2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93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medium">
        <color indexed="64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medium">
        <color indexed="64"/>
      </bottom>
      <diagonal/>
    </border>
    <border>
      <left style="hair">
        <color theme="0" tint="-4.9989318521683403E-2"/>
      </left>
      <right style="medium">
        <color indexed="64"/>
      </right>
      <top style="hair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medium">
        <color indexed="64"/>
      </right>
      <top/>
      <bottom style="hair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vertical="center"/>
    </xf>
    <xf numFmtId="164" fontId="0" fillId="0" borderId="0" xfId="0" applyNumberFormat="1"/>
    <xf numFmtId="0" fontId="6" fillId="5" borderId="2" xfId="0" applyFont="1" applyFill="1" applyBorder="1" applyAlignment="1">
      <alignment vertical="center"/>
    </xf>
    <xf numFmtId="0" fontId="8" fillId="3" borderId="11" xfId="0" applyFont="1" applyFill="1" applyBorder="1" applyAlignment="1">
      <alignment horizontal="left" indent="3"/>
    </xf>
    <xf numFmtId="164" fontId="12" fillId="3" borderId="12" xfId="0" applyNumberFormat="1" applyFont="1" applyFill="1" applyBorder="1" applyAlignment="1">
      <alignment horizontal="center"/>
    </xf>
    <xf numFmtId="164" fontId="12" fillId="3" borderId="13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left" indent="3"/>
    </xf>
    <xf numFmtId="164" fontId="12" fillId="3" borderId="6" xfId="0" applyNumberFormat="1" applyFont="1" applyFill="1" applyBorder="1" applyAlignment="1">
      <alignment horizontal="center"/>
    </xf>
    <xf numFmtId="164" fontId="12" fillId="3" borderId="7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left" indent="3"/>
    </xf>
    <xf numFmtId="164" fontId="12" fillId="3" borderId="9" xfId="0" applyNumberFormat="1" applyFont="1" applyFill="1" applyBorder="1" applyAlignment="1">
      <alignment horizontal="center"/>
    </xf>
    <xf numFmtId="164" fontId="12" fillId="3" borderId="10" xfId="0" applyNumberFormat="1" applyFont="1" applyFill="1" applyBorder="1" applyAlignment="1">
      <alignment horizontal="center"/>
    </xf>
    <xf numFmtId="8" fontId="9" fillId="3" borderId="19" xfId="0" applyNumberFormat="1" applyFont="1" applyFill="1" applyBorder="1" applyAlignment="1">
      <alignment horizontal="center"/>
    </xf>
    <xf numFmtId="8" fontId="9" fillId="3" borderId="22" xfId="0" applyNumberFormat="1" applyFont="1" applyFill="1" applyBorder="1" applyAlignment="1">
      <alignment horizontal="center"/>
    </xf>
    <xf numFmtId="164" fontId="9" fillId="3" borderId="22" xfId="0" applyNumberFormat="1" applyFont="1" applyFill="1" applyBorder="1" applyAlignment="1">
      <alignment horizontal="center"/>
    </xf>
    <xf numFmtId="0" fontId="2" fillId="4" borderId="0" xfId="1" applyBorder="1" applyAlignment="1">
      <alignment horizontal="left"/>
    </xf>
    <xf numFmtId="0" fontId="2" fillId="4" borderId="0" xfId="1"/>
    <xf numFmtId="0" fontId="3" fillId="3" borderId="0" xfId="0" applyFont="1" applyFill="1"/>
    <xf numFmtId="9" fontId="0" fillId="0" borderId="0" xfId="0" applyNumberFormat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164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/>
    <xf numFmtId="0" fontId="2" fillId="4" borderId="0" xfId="1" applyAlignment="1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10" fontId="2" fillId="4" borderId="0" xfId="1" applyNumberFormat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9" fontId="0" fillId="10" borderId="0" xfId="0" applyNumberForma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13" fillId="0" borderId="0" xfId="0" applyFont="1"/>
    <xf numFmtId="164" fontId="9" fillId="0" borderId="16" xfId="0" applyNumberFormat="1" applyFont="1" applyBorder="1" applyAlignment="1" applyProtection="1">
      <alignment horizontal="center"/>
      <protection locked="0"/>
    </xf>
    <xf numFmtId="10" fontId="9" fillId="0" borderId="19" xfId="0" applyNumberFormat="1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2" fillId="4" borderId="0" xfId="1" applyAlignment="1" applyProtection="1">
      <alignment horizont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left" wrapText="1" indent="3"/>
    </xf>
    <xf numFmtId="0" fontId="10" fillId="3" borderId="15" xfId="0" applyFont="1" applyFill="1" applyBorder="1" applyAlignment="1">
      <alignment horizontal="left" wrapText="1" indent="3"/>
    </xf>
    <xf numFmtId="0" fontId="10" fillId="3" borderId="17" xfId="0" applyFont="1" applyFill="1" applyBorder="1" applyAlignment="1">
      <alignment horizontal="left" wrapText="1" indent="3"/>
    </xf>
    <xf numFmtId="0" fontId="10" fillId="3" borderId="18" xfId="0" applyFont="1" applyFill="1" applyBorder="1" applyAlignment="1">
      <alignment horizontal="left" wrapText="1" indent="3"/>
    </xf>
    <xf numFmtId="0" fontId="11" fillId="3" borderId="17" xfId="0" applyFont="1" applyFill="1" applyBorder="1" applyAlignment="1">
      <alignment horizontal="left" wrapText="1" indent="3"/>
    </xf>
    <xf numFmtId="0" fontId="11" fillId="3" borderId="18" xfId="0" applyFont="1" applyFill="1" applyBorder="1" applyAlignment="1">
      <alignment horizontal="left" wrapText="1" indent="3"/>
    </xf>
    <xf numFmtId="0" fontId="11" fillId="3" borderId="20" xfId="0" applyFont="1" applyFill="1" applyBorder="1" applyAlignment="1">
      <alignment horizontal="left" wrapText="1" indent="3"/>
    </xf>
    <xf numFmtId="0" fontId="11" fillId="3" borderId="21" xfId="0" applyFont="1" applyFill="1" applyBorder="1" applyAlignment="1">
      <alignment horizontal="left" wrapText="1" indent="3"/>
    </xf>
    <xf numFmtId="0" fontId="7" fillId="2" borderId="2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 indent="3"/>
    </xf>
    <xf numFmtId="0" fontId="8" fillId="3" borderId="15" xfId="0" applyFont="1" applyFill="1" applyBorder="1" applyAlignment="1">
      <alignment horizontal="left" indent="3"/>
    </xf>
    <xf numFmtId="0" fontId="8" fillId="3" borderId="17" xfId="0" applyFont="1" applyFill="1" applyBorder="1" applyAlignment="1">
      <alignment horizontal="left" indent="3"/>
    </xf>
    <xf numFmtId="0" fontId="8" fillId="3" borderId="18" xfId="0" applyFont="1" applyFill="1" applyBorder="1" applyAlignment="1">
      <alignment horizontal="left" indent="3"/>
    </xf>
    <xf numFmtId="0" fontId="8" fillId="3" borderId="20" xfId="0" applyFont="1" applyFill="1" applyBorder="1" applyAlignment="1">
      <alignment horizontal="left" indent="3"/>
    </xf>
    <xf numFmtId="0" fontId="8" fillId="3" borderId="21" xfId="0" applyFont="1" applyFill="1" applyBorder="1" applyAlignment="1">
      <alignment horizontal="left" indent="3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F79393"/>
      <color rgb="FFF25858"/>
      <color rgb="FFDE1212"/>
      <color rgb="FF4BEE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AE-4FB1-87FF-0721F8EFA9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AE-4FB1-87FF-0721F8EFA9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AE-4FB1-87FF-0721F8EFA9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AE-4FB1-87FF-0721F8EFA9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AE-4FB1-87FF-0721F8EFA9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AE-4FB1-87FF-0721F8EFA9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9-4FF6-8CA4-9A92FD1B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09107480095878E-2"/>
          <c:y val="0.18047872845977819"/>
          <c:w val="0.77245847190637063"/>
          <c:h val="0.50461766791685858"/>
        </c:manualLayout>
      </c:layout>
      <c:barChart>
        <c:barDir val="col"/>
        <c:grouping val="clustered"/>
        <c:varyColors val="0"/>
        <c:ser>
          <c:idx val="0"/>
          <c:order val="0"/>
          <c:tx>
            <c:v>Porcentual Sugerido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4-437D-8998-645D4F411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320063"/>
        <c:axId val="1402736319"/>
      </c:barChart>
      <c:lineChart>
        <c:grouping val="standard"/>
        <c:varyColors val="0"/>
        <c:ser>
          <c:idx val="1"/>
          <c:order val="1"/>
          <c:tx>
            <c:v>Valores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Planilha1!$D$34:$D$39</c:f>
              <c:numCache>
                <c:formatCode>"R$"\ #,##0.00</c:formatCode>
                <c:ptCount val="6"/>
                <c:pt idx="0">
                  <c:v>403.2</c:v>
                </c:pt>
                <c:pt idx="1">
                  <c:v>441</c:v>
                </c:pt>
                <c:pt idx="2">
                  <c:v>100.8</c:v>
                </c:pt>
                <c:pt idx="3">
                  <c:v>63</c:v>
                </c:pt>
                <c:pt idx="4">
                  <c:v>126</c:v>
                </c:pt>
                <c:pt idx="5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4-437D-8998-645D4F411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220495"/>
        <c:axId val="1402758879"/>
      </c:lineChart>
      <c:catAx>
        <c:axId val="1474320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2736319"/>
        <c:crosses val="autoZero"/>
        <c:auto val="1"/>
        <c:lblAlgn val="ctr"/>
        <c:lblOffset val="100"/>
        <c:noMultiLvlLbl val="0"/>
      </c:catAx>
      <c:valAx>
        <c:axId val="14027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4320063"/>
        <c:crosses val="autoZero"/>
        <c:crossBetween val="between"/>
      </c:valAx>
      <c:valAx>
        <c:axId val="1402758879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220495"/>
        <c:crosses val="max"/>
        <c:crossBetween val="between"/>
      </c:valAx>
      <c:catAx>
        <c:axId val="140822049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0275887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32385155412826"/>
          <c:y val="4.5648765576313088E-2"/>
          <c:w val="0.50562289281766726"/>
          <c:h val="7.5937068829284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434340</xdr:colOff>
      <xdr:row>0</xdr:row>
      <xdr:rowOff>55245</xdr:rowOff>
    </xdr:from>
    <xdr:to>
      <xdr:col>4</xdr:col>
      <xdr:colOff>15240</xdr:colOff>
      <xdr:row>9</xdr:row>
      <xdr:rowOff>17145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7895035-59BE-CB9F-2D4D-E9B90C2F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59055"/>
          <a:ext cx="8686800" cy="159067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40</xdr:row>
      <xdr:rowOff>96202</xdr:rowOff>
    </xdr:from>
    <xdr:to>
      <xdr:col>2</xdr:col>
      <xdr:colOff>76200</xdr:colOff>
      <xdr:row>56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525473-6AA0-5008-62A8-71ADEDE48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40</xdr:row>
      <xdr:rowOff>96202</xdr:rowOff>
    </xdr:from>
    <xdr:to>
      <xdr:col>4</xdr:col>
      <xdr:colOff>16605</xdr:colOff>
      <xdr:row>56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978CC0-8026-4BFA-2596-CCBDAD643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3FC3-C2FC-40F2-B922-8E2DF4909BBF}">
  <dimension ref="A10:K68"/>
  <sheetViews>
    <sheetView showGridLines="0" showRowColHeaders="0" tabSelected="1" showRuler="0" topLeftCell="A6" zoomScaleNormal="100" workbookViewId="0">
      <selection activeCell="C30" sqref="C30"/>
    </sheetView>
  </sheetViews>
  <sheetFormatPr defaultColWidth="0" defaultRowHeight="15" x14ac:dyDescent="0.25"/>
  <cols>
    <col min="1" max="1" width="6.7109375" customWidth="1"/>
    <col min="2" max="2" width="59.28515625" customWidth="1"/>
    <col min="3" max="3" width="50.28515625" customWidth="1"/>
    <col min="4" max="4" width="16.28515625" bestFit="1" customWidth="1"/>
    <col min="5" max="5" width="4.140625" customWidth="1"/>
    <col min="6" max="6" width="4.28515625" customWidth="1"/>
    <col min="7" max="7" width="3.7109375" customWidth="1"/>
    <col min="8" max="8" width="4.7109375" customWidth="1"/>
    <col min="9" max="9" width="4.140625" hidden="1" customWidth="1"/>
    <col min="10" max="10" width="3.7109375" hidden="1" customWidth="1"/>
    <col min="11" max="11" width="5.140625" hidden="1" customWidth="1"/>
    <col min="12" max="16384" width="8.85546875" hidden="1"/>
  </cols>
  <sheetData>
    <row r="10" spans="2:7" ht="15.75" thickBot="1" x14ac:dyDescent="0.3">
      <c r="F10" s="44"/>
    </row>
    <row r="11" spans="2:7" ht="26.25" x14ac:dyDescent="0.25">
      <c r="B11" s="51" t="s">
        <v>15</v>
      </c>
      <c r="C11" s="52"/>
      <c r="D11" s="6"/>
    </row>
    <row r="12" spans="2:7" ht="19.5" thickBot="1" x14ac:dyDescent="0.4">
      <c r="B12" s="62" t="s">
        <v>14</v>
      </c>
      <c r="C12" s="63"/>
      <c r="D12" s="45">
        <v>2000</v>
      </c>
    </row>
    <row r="13" spans="2:7" ht="19.5" thickBot="1" x14ac:dyDescent="0.4">
      <c r="B13" s="64" t="s">
        <v>13</v>
      </c>
      <c r="C13" s="65"/>
      <c r="D13" s="46">
        <v>0.01</v>
      </c>
    </row>
    <row r="14" spans="2:7" ht="19.5" thickBot="1" x14ac:dyDescent="0.4">
      <c r="B14" s="66" t="s">
        <v>33</v>
      </c>
      <c r="C14" s="67"/>
      <c r="D14" s="18">
        <f>salario*30%</f>
        <v>600</v>
      </c>
    </row>
    <row r="15" spans="2:7" ht="15.75" thickBot="1" x14ac:dyDescent="0.3"/>
    <row r="16" spans="2:7" ht="34.9" customHeight="1" x14ac:dyDescent="0.25">
      <c r="B16" s="49" t="s">
        <v>0</v>
      </c>
      <c r="C16" s="50"/>
      <c r="D16" s="61"/>
      <c r="G16" s="4"/>
    </row>
    <row r="17" spans="1:4" ht="17.45" customHeight="1" thickBot="1" x14ac:dyDescent="0.4">
      <c r="B17" s="53" t="s">
        <v>1</v>
      </c>
      <c r="C17" s="54"/>
      <c r="D17" s="45">
        <v>1260</v>
      </c>
    </row>
    <row r="18" spans="1:4" ht="17.45" customHeight="1" thickBot="1" x14ac:dyDescent="0.4">
      <c r="B18" s="55" t="s">
        <v>5</v>
      </c>
      <c r="C18" s="56"/>
      <c r="D18" s="47">
        <v>10</v>
      </c>
    </row>
    <row r="19" spans="1:4" ht="17.45" customHeight="1" thickBot="1" x14ac:dyDescent="0.4">
      <c r="B19" s="55" t="s">
        <v>4</v>
      </c>
      <c r="C19" s="56"/>
      <c r="D19" s="46">
        <v>1.0789999999999999E-2</v>
      </c>
    </row>
    <row r="20" spans="1:4" ht="17.45" customHeight="1" thickBot="1" x14ac:dyDescent="0.4">
      <c r="B20" s="57" t="s">
        <v>3</v>
      </c>
      <c r="C20" s="58"/>
      <c r="D20" s="16">
        <f>FV(taxa_mensal,qtd_anos*12,aporte*-1)</f>
        <v>306538.10778801696</v>
      </c>
    </row>
    <row r="21" spans="1:4" ht="17.45" customHeight="1" thickBot="1" x14ac:dyDescent="0.4">
      <c r="B21" s="59" t="s">
        <v>2</v>
      </c>
      <c r="C21" s="60"/>
      <c r="D21" s="17">
        <f>patrimonio*rendimento_carteira</f>
        <v>3065.3810778801699</v>
      </c>
    </row>
    <row r="22" spans="1:4" ht="15.75" thickBot="1" x14ac:dyDescent="0.3"/>
    <row r="23" spans="1:4" ht="30.75" x14ac:dyDescent="0.25">
      <c r="B23" s="49" t="s">
        <v>10</v>
      </c>
      <c r="C23" s="50"/>
      <c r="D23" s="2" t="s">
        <v>12</v>
      </c>
    </row>
    <row r="24" spans="1:4" ht="17.45" customHeight="1" x14ac:dyDescent="0.3">
      <c r="A24" s="1">
        <v>2</v>
      </c>
      <c r="B24" s="7" t="s">
        <v>6</v>
      </c>
      <c r="C24" s="8">
        <f>FV($D$19,$A24*12,$D$17)*-1</f>
        <v>34306.810395032975</v>
      </c>
      <c r="D24" s="9">
        <f>C24*rendimento_carteira</f>
        <v>343.06810395032977</v>
      </c>
    </row>
    <row r="25" spans="1:4" ht="17.45" customHeight="1" x14ac:dyDescent="0.3">
      <c r="A25" s="1">
        <v>5</v>
      </c>
      <c r="B25" s="10" t="s">
        <v>7</v>
      </c>
      <c r="C25" s="11">
        <f>FV($D$19,$A25*12,$D$17)*-1</f>
        <v>105558.91163809443</v>
      </c>
      <c r="D25" s="12">
        <f>C25*rendimento_carteira</f>
        <v>1055.5891163809442</v>
      </c>
    </row>
    <row r="26" spans="1:4" ht="17.45" customHeight="1" x14ac:dyDescent="0.3">
      <c r="A26" s="1">
        <v>10</v>
      </c>
      <c r="B26" s="10" t="s">
        <v>8</v>
      </c>
      <c r="C26" s="11">
        <f>FV($D$19,$A26*12,$D$17)*-1</f>
        <v>306538.10778801696</v>
      </c>
      <c r="D26" s="12">
        <f>C26*rendimento_carteira</f>
        <v>3065.3810778801699</v>
      </c>
    </row>
    <row r="27" spans="1:4" ht="17.45" customHeight="1" x14ac:dyDescent="0.3">
      <c r="A27" s="1">
        <v>20</v>
      </c>
      <c r="B27" s="10" t="s">
        <v>9</v>
      </c>
      <c r="C27" s="11">
        <f>FV($D$19,$A27*12,$D$17)*-1</f>
        <v>1417749.9841223215</v>
      </c>
      <c r="D27" s="12">
        <f>C27*rendimento_carteira</f>
        <v>14177.499841223214</v>
      </c>
    </row>
    <row r="28" spans="1:4" ht="17.45" customHeight="1" thickBot="1" x14ac:dyDescent="0.35">
      <c r="A28" s="1">
        <v>30</v>
      </c>
      <c r="B28" s="13" t="s">
        <v>11</v>
      </c>
      <c r="C28" s="14">
        <f>FV($D$19,$A28*12,$D$17)*-1</f>
        <v>5445933.7653059401</v>
      </c>
      <c r="D28" s="15">
        <f>C28*rendimento_carteira</f>
        <v>54459.337653059403</v>
      </c>
    </row>
    <row r="30" spans="1:4" x14ac:dyDescent="0.25">
      <c r="B30" s="19" t="s">
        <v>20</v>
      </c>
      <c r="C30" s="48" t="s">
        <v>16</v>
      </c>
      <c r="D30" s="28"/>
    </row>
    <row r="31" spans="1:4" x14ac:dyDescent="0.25">
      <c r="B31" s="21" t="s">
        <v>19</v>
      </c>
      <c r="C31" s="26">
        <f>aporte</f>
        <v>1260</v>
      </c>
      <c r="D31" s="27"/>
    </row>
    <row r="33" spans="2:4" x14ac:dyDescent="0.25">
      <c r="B33" s="23" t="s">
        <v>21</v>
      </c>
      <c r="C33" s="23" t="s">
        <v>22</v>
      </c>
      <c r="D33" s="23" t="s">
        <v>23</v>
      </c>
    </row>
    <row r="34" spans="2:4" x14ac:dyDescent="0.25">
      <c r="B34" s="3" t="s">
        <v>24</v>
      </c>
      <c r="C34" s="22">
        <f>VLOOKUP($C$30&amp;"-"&amp;B34,Planilha2!$A:$D,4,FALSE)</f>
        <v>0.32</v>
      </c>
      <c r="D34" s="5">
        <f>C34*$C$31</f>
        <v>403.2</v>
      </c>
    </row>
    <row r="35" spans="2:4" x14ac:dyDescent="0.25">
      <c r="B35" s="3" t="s">
        <v>25</v>
      </c>
      <c r="C35" s="22">
        <f>VLOOKUP($C$30&amp;"-"&amp;B35,Planilha2!$A:$D,4,FALSE)</f>
        <v>0.35</v>
      </c>
      <c r="D35" s="5">
        <f t="shared" ref="D35:D39" si="0">C35*$C$31</f>
        <v>441</v>
      </c>
    </row>
    <row r="36" spans="2:4" x14ac:dyDescent="0.25">
      <c r="B36" s="3" t="s">
        <v>26</v>
      </c>
      <c r="C36" s="22">
        <f>VLOOKUP($C$30&amp;"-"&amp;B36,Planilha2!$A:$D,4,FALSE)</f>
        <v>0.08</v>
      </c>
      <c r="D36" s="5">
        <f t="shared" si="0"/>
        <v>100.8</v>
      </c>
    </row>
    <row r="37" spans="2:4" x14ac:dyDescent="0.25">
      <c r="B37" s="3" t="s">
        <v>27</v>
      </c>
      <c r="C37" s="22">
        <f>VLOOKUP($C$30&amp;"-"&amp;B37,Planilha2!$A:$D,4,FALSE)</f>
        <v>0.05</v>
      </c>
      <c r="D37" s="5">
        <f t="shared" si="0"/>
        <v>63</v>
      </c>
    </row>
    <row r="38" spans="2:4" x14ac:dyDescent="0.25">
      <c r="B38" s="3" t="s">
        <v>28</v>
      </c>
      <c r="C38" s="22">
        <f>VLOOKUP($C$30&amp;"-"&amp;B38,Planilha2!$A:$D,4,FALSE)</f>
        <v>0.1</v>
      </c>
      <c r="D38" s="5">
        <f t="shared" si="0"/>
        <v>126</v>
      </c>
    </row>
    <row r="39" spans="2:4" x14ac:dyDescent="0.25">
      <c r="B39" s="3" t="s">
        <v>29</v>
      </c>
      <c r="C39" s="22">
        <f>VLOOKUP($C$30&amp;"-"&amp;B39,Planilha2!$A:$D,4,FALSE)</f>
        <v>0.1</v>
      </c>
      <c r="D39" s="5">
        <f t="shared" si="0"/>
        <v>126</v>
      </c>
    </row>
    <row r="40" spans="2:4" x14ac:dyDescent="0.25">
      <c r="B40" s="24"/>
      <c r="C40" s="24"/>
      <c r="D40" s="25">
        <f>SUM(D34:D39)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</sheetData>
  <sheetProtection sheet="1" objects="1" scenarios="1" selectLockedCells="1"/>
  <mergeCells count="11">
    <mergeCell ref="B23:C23"/>
    <mergeCell ref="B11:C11"/>
    <mergeCell ref="B17:C17"/>
    <mergeCell ref="B18:C18"/>
    <mergeCell ref="B19:C19"/>
    <mergeCell ref="B20:C20"/>
    <mergeCell ref="B21:C21"/>
    <mergeCell ref="B16:D16"/>
    <mergeCell ref="B12:C12"/>
    <mergeCell ref="B13:C13"/>
    <mergeCell ref="B14:C14"/>
  </mergeCells>
  <dataValidations count="1">
    <dataValidation type="list" allowBlank="1" showInputMessage="1" showErrorMessage="1" sqref="C30" xr:uid="{7257139F-5203-45A9-83A2-90DBBE2E081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6C22-43CD-4F19-8E9D-F42EA4AE7AAB}">
  <dimension ref="A2:H20"/>
  <sheetViews>
    <sheetView workbookViewId="0">
      <selection activeCell="D3" sqref="D3"/>
    </sheetView>
  </sheetViews>
  <sheetFormatPr defaultRowHeight="15" x14ac:dyDescent="0.25"/>
  <cols>
    <col min="1" max="1" width="30.42578125" bestFit="1" customWidth="1"/>
    <col min="2" max="2" width="11.7109375" bestFit="1" customWidth="1"/>
    <col min="3" max="3" width="18.42578125" bestFit="1" customWidth="1"/>
    <col min="7" max="7" width="16.5703125" bestFit="1" customWidth="1"/>
  </cols>
  <sheetData>
    <row r="2" spans="1:8" x14ac:dyDescent="0.25">
      <c r="A2" s="33" t="s">
        <v>31</v>
      </c>
      <c r="B2" s="33" t="s">
        <v>20</v>
      </c>
      <c r="C2" s="34" t="s">
        <v>21</v>
      </c>
      <c r="D2" s="34" t="s">
        <v>30</v>
      </c>
    </row>
    <row r="3" spans="1:8" x14ac:dyDescent="0.25">
      <c r="A3" s="38" t="str">
        <f>B3&amp;"-"&amp;C3</f>
        <v>Conservador-PAPEL</v>
      </c>
      <c r="B3" s="38" t="s">
        <v>18</v>
      </c>
      <c r="C3" s="39" t="s">
        <v>24</v>
      </c>
      <c r="D3" s="40">
        <v>0.3</v>
      </c>
      <c r="H3" s="3" t="s">
        <v>30</v>
      </c>
    </row>
    <row r="4" spans="1:8" x14ac:dyDescent="0.25">
      <c r="A4" t="str">
        <f t="shared" ref="A4:A20" si="0">B4&amp;"-"&amp;C4</f>
        <v>Conservador-TIJOLO</v>
      </c>
      <c r="B4" t="s">
        <v>18</v>
      </c>
      <c r="C4" s="3" t="s">
        <v>25</v>
      </c>
      <c r="D4" s="22">
        <v>0.5</v>
      </c>
      <c r="G4" s="20" t="s">
        <v>32</v>
      </c>
      <c r="H4" s="32">
        <f>VLOOKUP(G4,$A:$D,4,)</f>
        <v>0.35</v>
      </c>
    </row>
    <row r="5" spans="1:8" x14ac:dyDescent="0.25">
      <c r="A5" t="str">
        <f t="shared" si="0"/>
        <v>Conservador-HÍBRIDOS</v>
      </c>
      <c r="B5" t="s">
        <v>18</v>
      </c>
      <c r="C5" s="3" t="s">
        <v>26</v>
      </c>
      <c r="D5" s="22">
        <v>0.1</v>
      </c>
    </row>
    <row r="6" spans="1:8" x14ac:dyDescent="0.25">
      <c r="A6" t="str">
        <f t="shared" si="0"/>
        <v>Conservador-FOFs</v>
      </c>
      <c r="B6" t="s">
        <v>18</v>
      </c>
      <c r="C6" s="3" t="s">
        <v>27</v>
      </c>
      <c r="D6" s="22">
        <v>0.1</v>
      </c>
    </row>
    <row r="7" spans="1:8" x14ac:dyDescent="0.25">
      <c r="A7" t="str">
        <f t="shared" si="0"/>
        <v>Conservador-DESENVOLVIMENTO</v>
      </c>
      <c r="B7" t="s">
        <v>18</v>
      </c>
      <c r="C7" s="3" t="s">
        <v>28</v>
      </c>
      <c r="D7" s="22">
        <v>0</v>
      </c>
    </row>
    <row r="8" spans="1:8" ht="15.75" thickBot="1" x14ac:dyDescent="0.3">
      <c r="A8" s="29" t="str">
        <f t="shared" si="0"/>
        <v>Conservador-HOTELARIA</v>
      </c>
      <c r="B8" s="29" t="s">
        <v>18</v>
      </c>
      <c r="C8" s="30" t="s">
        <v>29</v>
      </c>
      <c r="D8" s="31">
        <v>0</v>
      </c>
    </row>
    <row r="9" spans="1:8" x14ac:dyDescent="0.25">
      <c r="A9" s="35" t="str">
        <f t="shared" si="0"/>
        <v>Moderado-PAPEL</v>
      </c>
      <c r="B9" s="35" t="s">
        <v>16</v>
      </c>
      <c r="C9" s="36" t="s">
        <v>24</v>
      </c>
      <c r="D9" s="37">
        <v>0.32</v>
      </c>
    </row>
    <row r="10" spans="1:8" x14ac:dyDescent="0.25">
      <c r="A10" t="str">
        <f t="shared" si="0"/>
        <v>Moderado-TIJOLO</v>
      </c>
      <c r="B10" t="s">
        <v>16</v>
      </c>
      <c r="C10" s="3" t="s">
        <v>25</v>
      </c>
      <c r="D10" s="22">
        <v>0.35</v>
      </c>
    </row>
    <row r="11" spans="1:8" x14ac:dyDescent="0.25">
      <c r="A11" t="str">
        <f t="shared" si="0"/>
        <v>Moderado-HÍBRIDOS</v>
      </c>
      <c r="B11" t="s">
        <v>16</v>
      </c>
      <c r="C11" s="3" t="s">
        <v>26</v>
      </c>
      <c r="D11" s="22">
        <v>0.08</v>
      </c>
    </row>
    <row r="12" spans="1:8" x14ac:dyDescent="0.25">
      <c r="A12" t="str">
        <f t="shared" si="0"/>
        <v>Moderado-FOFs</v>
      </c>
      <c r="B12" t="s">
        <v>16</v>
      </c>
      <c r="C12" s="3" t="s">
        <v>27</v>
      </c>
      <c r="D12" s="22">
        <v>0.05</v>
      </c>
    </row>
    <row r="13" spans="1:8" x14ac:dyDescent="0.25">
      <c r="A13" t="str">
        <f t="shared" si="0"/>
        <v>Moderado-DESENVOLVIMENTO</v>
      </c>
      <c r="B13" t="s">
        <v>16</v>
      </c>
      <c r="C13" s="3" t="s">
        <v>28</v>
      </c>
      <c r="D13" s="22">
        <v>0.1</v>
      </c>
    </row>
    <row r="14" spans="1:8" ht="15.75" thickBot="1" x14ac:dyDescent="0.3">
      <c r="A14" s="29" t="str">
        <f t="shared" si="0"/>
        <v>Moderado-HOTELARIA</v>
      </c>
      <c r="B14" s="29" t="s">
        <v>16</v>
      </c>
      <c r="C14" s="30" t="s">
        <v>29</v>
      </c>
      <c r="D14" s="31">
        <v>0.1</v>
      </c>
    </row>
    <row r="15" spans="1:8" x14ac:dyDescent="0.25">
      <c r="A15" s="41" t="str">
        <f t="shared" si="0"/>
        <v>Agressivo-PAPEL</v>
      </c>
      <c r="B15" s="41" t="s">
        <v>17</v>
      </c>
      <c r="C15" s="42" t="s">
        <v>24</v>
      </c>
      <c r="D15" s="43">
        <v>0.5</v>
      </c>
    </row>
    <row r="16" spans="1:8" x14ac:dyDescent="0.25">
      <c r="A16" t="str">
        <f t="shared" si="0"/>
        <v>Agressivo-TIJOLO</v>
      </c>
      <c r="B16" t="s">
        <v>17</v>
      </c>
      <c r="C16" s="3" t="s">
        <v>25</v>
      </c>
      <c r="D16" s="22">
        <v>0.1</v>
      </c>
    </row>
    <row r="17" spans="1:4" x14ac:dyDescent="0.25">
      <c r="A17" t="str">
        <f t="shared" si="0"/>
        <v>Agressivo-HÍBRIDOS</v>
      </c>
      <c r="B17" t="s">
        <v>17</v>
      </c>
      <c r="C17" s="3" t="s">
        <v>26</v>
      </c>
      <c r="D17" s="22">
        <v>0.05</v>
      </c>
    </row>
    <row r="18" spans="1:4" x14ac:dyDescent="0.25">
      <c r="A18" t="str">
        <f t="shared" si="0"/>
        <v>Agressivo-FOFs</v>
      </c>
      <c r="B18" t="s">
        <v>17</v>
      </c>
      <c r="C18" s="3" t="s">
        <v>27</v>
      </c>
      <c r="D18" s="22">
        <v>0.05</v>
      </c>
    </row>
    <row r="19" spans="1:4" x14ac:dyDescent="0.25">
      <c r="A19" t="str">
        <f t="shared" si="0"/>
        <v>Agressivo-DESENVOLVIMENTO</v>
      </c>
      <c r="B19" t="s">
        <v>17</v>
      </c>
      <c r="C19" s="3" t="s">
        <v>28</v>
      </c>
      <c r="D19" s="22">
        <v>0.2</v>
      </c>
    </row>
    <row r="20" spans="1:4" x14ac:dyDescent="0.25">
      <c r="A20" t="str">
        <f t="shared" si="0"/>
        <v>Agressivo-HOTELARIA</v>
      </c>
      <c r="B20" t="s">
        <v>17</v>
      </c>
      <c r="C20" s="3" t="s">
        <v>29</v>
      </c>
      <c r="D20" s="2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dividendo_mensal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Virginio da Silva</dc:creator>
  <cp:lastModifiedBy>GABRIEL VIRGINIO DA SILVA</cp:lastModifiedBy>
  <dcterms:created xsi:type="dcterms:W3CDTF">2026-10-13T17:04:12Z</dcterms:created>
  <dcterms:modified xsi:type="dcterms:W3CDTF">2026-10-17T20:26:52Z</dcterms:modified>
</cp:coreProperties>
</file>